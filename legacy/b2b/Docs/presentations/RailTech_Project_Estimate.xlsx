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удит проекта" sheetId="1" state="visible" r:id="rId3"/>
    <sheet name="Команда и сроки" sheetId="2" state="visible" r:id="rId4"/>
    <sheet name="Фазы проекта" sheetId="3" state="visible" r:id="rId5"/>
    <sheet name="Рис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<sst xmlns="http://schemas.openxmlformats.org/spreadsheetml/2006/main" count="317" uniqueCount="202">
  <si>
    <t xml:space="preserve">RAILTECH B2B ECOSYSTEM — ТЕХНИЧЕСКИЙ АУДИТ</t>
  </si>
  <si>
    <t xml:space="preserve">Дата аудита: 16.03.2026 | Аудитор: Senior Architect</t>
  </si>
  <si>
    <t xml:space="preserve">АРХИТЕКТУРА СИСТЕМЫ</t>
  </si>
  <si>
    <t xml:space="preserve">Параметр</t>
  </si>
  <si>
    <t xml:space="preserve">Значение</t>
  </si>
  <si>
    <t xml:space="preserve">Комментарий</t>
  </si>
  <si>
    <t xml:space="preserve">Архитектура</t>
  </si>
  <si>
    <t xml:space="preserve">5-Layer Topology</t>
  </si>
  <si>
    <t xml:space="preserve">Landing → Catalog → Cabinet → CRM → Admin</t>
  </si>
  <si>
    <t xml:space="preserve">Backend</t>
  </si>
  <si>
    <t xml:space="preserve">Django 5 + DRF + Channels</t>
  </si>
  <si>
    <t xml:space="preserve">ASGI (Daphne), PostgreSQL 15, Redis 7, Celery</t>
  </si>
  <si>
    <t xml:space="preserve">Frontend</t>
  </si>
  <si>
    <t xml:space="preserve">React + TypeScript + Tailwind</t>
  </si>
  <si>
    <t xml:space="preserve">Vite, Zustand, Lucide-react</t>
  </si>
  <si>
    <t xml:space="preserve">Landing</t>
  </si>
  <si>
    <t xml:space="preserve">Static HTML + Tailwind + JS</t>
  </si>
  <si>
    <t xml:space="preserve">GitHub Pages, 3 языка (RU/EN/UZ)</t>
  </si>
  <si>
    <t xml:space="preserve">Инфраструктура</t>
  </si>
  <si>
    <t xml:space="preserve">Docker Compose (7 сервисов)</t>
  </si>
  <si>
    <t xml:space="preserve">DB, Redis, Backend, Worker, Beat, Frontend, Nginx</t>
  </si>
  <si>
    <t xml:space="preserve">CI/CD</t>
  </si>
  <si>
    <t xml:space="preserve">GitHub Actions</t>
  </si>
  <si>
    <t xml:space="preserve">Lint → Test → Build → Deploy (staging/prod)</t>
  </si>
  <si>
    <t xml:space="preserve">Backend моделей</t>
  </si>
  <si>
    <t xml:space="preserve">19 моделей</t>
  </si>
  <si>
    <t xml:space="preserve">accounts(4), catalog(5), crm(5), sourcing(2), master_data(1), notifications(1), auth(1)</t>
  </si>
  <si>
    <t xml:space="preserve">Backend Python</t>
  </si>
  <si>
    <t xml:space="preserve">4,319 строк</t>
  </si>
  <si>
    <t xml:space="preserve">Без миграций и __pycache__</t>
  </si>
  <si>
    <t xml:space="preserve">Frontend компоненты</t>
  </si>
  <si>
    <t xml:space="preserve">46 .tsx файлов</t>
  </si>
  <si>
    <t xml:space="preserve">Admin(12), Catalog(4), Cabinet(4), Auth(3), Layout(6), UI(7), Shared(3), Dashboard(2), Other(5)</t>
  </si>
  <si>
    <t xml:space="preserve">Frontend TypeScript</t>
  </si>
  <si>
    <t xml:space="preserve">10,072 строки</t>
  </si>
  <si>
    <t xml:space="preserve">Включая CSS</t>
  </si>
  <si>
    <t xml:space="preserve">API endpoints</t>
  </si>
  <si>
    <t xml:space="preserve">25 ViewSets/Views</t>
  </si>
  <si>
    <t xml:space="preserve">accounts, catalog, crm, sourcing, notifications, master_data</t>
  </si>
  <si>
    <t xml:space="preserve">Zustand Stores</t>
  </si>
  <si>
    <t xml:space="preserve">6 stores</t>
  </si>
  <si>
    <t xml:space="preserve">auth, cart, domain, loading, task, theme</t>
  </si>
  <si>
    <t xml:space="preserve">API Layer</t>
  </si>
  <si>
    <t xml:space="preserve">7 модулей</t>
  </si>
  <si>
    <t xml:space="preserve">client + 5 domain APIs + types</t>
  </si>
  <si>
    <t xml:space="preserve">Custom Hooks</t>
  </si>
  <si>
    <t xml:space="preserve">4 хука</t>
  </si>
  <si>
    <t xml:space="preserve">useAccounts, useCRM, useCatalog, useMasterData</t>
  </si>
  <si>
    <t xml:space="preserve">Миграции</t>
  </si>
  <si>
    <t xml:space="preserve">10 файлов</t>
  </si>
  <si>
    <t xml:space="preserve">Начальная структура</t>
  </si>
  <si>
    <t xml:space="preserve">Landing HTML</t>
  </si>
  <si>
    <t xml:space="preserve">1,116 строк</t>
  </si>
  <si>
    <t xml:space="preserve">index.html — основная страница</t>
  </si>
  <si>
    <t xml:space="preserve">Landing JS</t>
  </si>
  <si>
    <t xml:space="preserve">789 строк</t>
  </si>
  <si>
    <t xml:space="preserve">main.js(504) + i18n.js(192) + cookie-consent.js(93)</t>
  </si>
  <si>
    <t xml:space="preserve">i18n ключи</t>
  </si>
  <si>
    <t xml:space="preserve">103 ключа × 3 языка</t>
  </si>
  <si>
    <t xml:space="preserve">ru.json, en.json, uz.json</t>
  </si>
  <si>
    <t xml:space="preserve">Landing страницы</t>
  </si>
  <si>
    <t xml:space="preserve">6 HTML файлов</t>
  </si>
  <si>
    <t xml:space="preserve">index, privacy, terms, coming-soon, 404, sitemap</t>
  </si>
  <si>
    <t xml:space="preserve">Документация</t>
  </si>
  <si>
    <t xml:space="preserve">891 строка</t>
  </si>
  <si>
    <t xml:space="preserve">9 документов в Docs/</t>
  </si>
  <si>
    <t xml:space="preserve">СОСТАВ КОМАНДЫ И ТРУДОЗАТРАТЫ</t>
  </si>
  <si>
    <t xml:space="preserve">Оценка для разработки с нуля до production-ready состояния</t>
  </si>
  <si>
    <t xml:space="preserve">Специалист</t>
  </si>
  <si>
    <t xml:space="preserve">Кол-во</t>
  </si>
  <si>
    <t xml:space="preserve">Ставка $/час</t>
  </si>
  <si>
    <t xml:space="preserve">Дней</t>
  </si>
  <si>
    <t xml:space="preserve">Часов</t>
  </si>
  <si>
    <t xml:space="preserve">Стоимость $</t>
  </si>
  <si>
    <t xml:space="preserve">Зона ответственности</t>
  </si>
  <si>
    <t xml:space="preserve">ФАЗА 1: DISCOVERY &amp; PLANNING</t>
  </si>
  <si>
    <t xml:space="preserve">Product Owner / BA</t>
  </si>
  <si>
    <t xml:space="preserve">Сбор требований, user stories, приоритизация бэклога, приёмка</t>
  </si>
  <si>
    <t xml:space="preserve">UX/UI Designer (Senior)</t>
  </si>
  <si>
    <t xml:space="preserve">Wireframes, дизайн-система, макеты всех 5 уровней, прототипы</t>
  </si>
  <si>
    <t xml:space="preserve">Solution Architect</t>
  </si>
  <si>
    <t xml:space="preserve">Архитектура, выбор стека, API-контракты, схема БД, инфра</t>
  </si>
  <si>
    <t xml:space="preserve">ФАЗА 2: BACKEND DEVELOPMENT</t>
  </si>
  <si>
    <t xml:space="preserve">Backend Lead (Django Sr.)</t>
  </si>
  <si>
    <t xml:space="preserve">Архитектура бэка, модели, RBAC, финансовый pipeline, ревью</t>
  </si>
  <si>
    <t xml:space="preserve">Backend Developer (Mid+)</t>
  </si>
  <si>
    <t xml:space="preserve">API endpoints, сериализаторы, фильтры, пагинация</t>
  </si>
  <si>
    <t xml:space="preserve">Backend Developer (Mid)</t>
  </si>
  <si>
    <t xml:space="preserve">Celery tasks, WebSocket consumers, Smart Match, импорт Excel</t>
  </si>
  <si>
    <t xml:space="preserve">ФАЗА 3: FRONTEND DEVELOPMENT</t>
  </si>
  <si>
    <t xml:space="preserve">Frontend Lead (React Sr.)</t>
  </si>
  <si>
    <t xml:space="preserve">Архитектура фронта, роутинг, stores, API layer, ревью</t>
  </si>
  <si>
    <t xml:space="preserve">Frontend Developer (Mid+)</t>
  </si>
  <si>
    <t xml:space="preserve">Каталог, кабинет клиента, KYC формы, корзина</t>
  </si>
  <si>
    <t xml:space="preserve">Frontend Developer (Mid)</t>
  </si>
  <si>
    <t xml:space="preserve">CRM dashboard, Quote Builder, Deal management, чаты</t>
  </si>
  <si>
    <t xml:space="preserve">Frontend Developer (Jr+)</t>
  </si>
  <si>
    <t xml:space="preserve">UI компоненты, таблицы, модалки, адаптив</t>
  </si>
  <si>
    <t xml:space="preserve">ФАЗА 4: LANDING &amp; ANIMATION</t>
  </si>
  <si>
    <t xml:space="preserve">Creative Developer / Motion</t>
  </si>
  <si>
    <t xml:space="preserve">Three.js wireframe анимация, scroll-driven, anime.js стиль</t>
  </si>
  <si>
    <t xml:space="preserve">Frontend Dev (Landing)</t>
  </si>
  <si>
    <t xml:space="preserve">HTML/Tailwind верстка, i18n (3 языка), SEO, формы, cookie</t>
  </si>
  <si>
    <t xml:space="preserve">3D Artist / Modeler</t>
  </si>
  <si>
    <t xml:space="preserve">Подготовка 3D модели (.glb), оптимизация для веба, wireframe</t>
  </si>
  <si>
    <t xml:space="preserve">ФАЗА 5: INFRASTRUCTURE &amp; DEVOPS</t>
  </si>
  <si>
    <t xml:space="preserve">DevOps Engineer</t>
  </si>
  <si>
    <t xml:space="preserve">Docker, CI/CD, Nginx, SSL, мониторинг, staging/prod</t>
  </si>
  <si>
    <t xml:space="preserve">ФАЗА 6: QA &amp; TESTING</t>
  </si>
  <si>
    <t xml:space="preserve">QA Lead (Manual + Auto)</t>
  </si>
  <si>
    <t xml:space="preserve">Тест-план, тест-кейсы, приёмочное тестирование</t>
  </si>
  <si>
    <t xml:space="preserve">QA Engineer (Manual)</t>
  </si>
  <si>
    <t xml:space="preserve">Ручное тестирование, регресс, кросс-браузер, мобильные</t>
  </si>
  <si>
    <t xml:space="preserve">ФАЗА 7: PROJECT MANAGEMENT</t>
  </si>
  <si>
    <t xml:space="preserve">Project Manager / Scrum Master</t>
  </si>
  <si>
    <t xml:space="preserve">Координация, спринты, риски, коммуникация, delivery</t>
  </si>
  <si>
    <t xml:space="preserve">ИТОГО</t>
  </si>
  <si>
    <t xml:space="preserve">Полная стоимость команды</t>
  </si>
  <si>
    <t xml:space="preserve">СВОДНЫЕ ПОКАЗАТЕЛИ</t>
  </si>
  <si>
    <t xml:space="preserve">Уникальных специалистов</t>
  </si>
  <si>
    <t xml:space="preserve">чел.</t>
  </si>
  <si>
    <t xml:space="preserve">Общая длительность проекта</t>
  </si>
  <si>
    <t xml:space="preserve">90-100</t>
  </si>
  <si>
    <t xml:space="preserve">рабочих дней (при параллельной работе фаз)</t>
  </si>
  <si>
    <t xml:space="preserve">Календарных месяцев</t>
  </si>
  <si>
    <t xml:space="preserve">4.5-5</t>
  </si>
  <si>
    <t xml:space="preserve">месяцев с учётом выходных</t>
  </si>
  <si>
    <t xml:space="preserve">Всего человеко-часов</t>
  </si>
  <si>
    <t xml:space="preserve">часов</t>
  </si>
  <si>
    <t xml:space="preserve">Средняя ставка команды</t>
  </si>
  <si>
    <t xml:space="preserve">$/час</t>
  </si>
  <si>
    <t xml:space="preserve">TIMELINE — ФАЗЫ ПРОЕКТА (НЕДЕЛИ)</t>
  </si>
  <si>
    <t xml:space="preserve">Фаза</t>
  </si>
  <si>
    <t xml:space="preserve">Старт</t>
  </si>
  <si>
    <t xml:space="preserve">Конец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</si>
  <si>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</si>
  <si>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</si>
  <si>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</si>
  <si>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</si>
  <si>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</si>
  <si>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</si>
  <si>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</si>
  <si>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</si>
  <si>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</si>
  <si>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</si>
  <si>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</si>
  <si>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</si>
  <si>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</si>
  <si>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</si>
  <si>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</si>
  <si>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</si>
  <si>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</si>
  <si>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</si>
  <si>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</si>
  <si>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Discovery &amp; Planning</t>
  </si>
  <si>
    <t xml:space="preserve">█</t>
  </si>
  <si>
    <t xml:space="preserve">UX/UI Design</t>
  </si>
  <si>
    <t xml:space="preserve">Backend Core (Models, Auth)</t>
  </si>
  <si>
    <t xml:space="preserve">Backend API &amp; Business Logic</t>
  </si>
  <si>
    <t xml:space="preserve">Frontend Architecture</t>
  </si>
  <si>
    <t xml:space="preserve">Frontend: Catalog + Cabinet</t>
  </si>
  <si>
    <t xml:space="preserve">Frontend: CRM + Admin</t>
  </si>
  <si>
    <t xml:space="preserve">Landing + Animation (Three.js)</t>
  </si>
  <si>
    <t xml:space="preserve">WebSocket + Realtime</t>
  </si>
  <si>
    <t xml:space="preserve">DevOps &amp; Infrastructure</t>
  </si>
  <si>
    <t xml:space="preserve">DevOps: Staging Deploy</t>
  </si>
  <si>
    <t xml:space="preserve">QA: Manual Testing</t>
  </si>
  <si>
    <t xml:space="preserve">QA: Regression + UAT</t>
  </si>
  <si>
    <t xml:space="preserve">Bug Fixing &amp; Polish</t>
  </si>
  <si>
    <t xml:space="preserve">Production Deploy</t>
  </si>
  <si>
    <t xml:space="preserve">* Фазы перекрываются — параллельная работа сокращает общий срок до ~19 недель (≈5 мес)</t>
  </si>
  <si>
    <t xml:space="preserve">МАТРИЦА РИСКОВ ПРОЕКТА</t>
  </si>
  <si>
    <t xml:space="preserve">Риск</t>
  </si>
  <si>
    <t xml:space="preserve">Вероятность</t>
  </si>
  <si>
    <t xml:space="preserve">Влияние</t>
  </si>
  <si>
    <t xml:space="preserve">Митигация</t>
  </si>
  <si>
    <t xml:space="preserve">Сложность финансового pipeline</t>
  </si>
  <si>
    <t xml:space="preserve">Высокая</t>
  </si>
  <si>
    <t xml:space="preserve">Критическое</t>
  </si>
  <si>
    <t xml:space="preserve">Покрыть unit-тестами Landed Cost, Margin, VAT расчёты на ранней стадии</t>
  </si>
  <si>
    <t xml:space="preserve">3-доменная таксономия каталога</t>
  </si>
  <si>
    <t xml:space="preserve">Средняя</t>
  </si>
  <si>
    <t xml:space="preserve">Высокое</t>
  </si>
  <si>
    <t xml:space="preserve">Строгая валидация domain_type на уровне модели и сериализатора</t>
  </si>
  <si>
    <t xml:space="preserve">Real-time WebSocket стабильность</t>
  </si>
  <si>
    <t xml:space="preserve">Среднее</t>
  </si>
  <si>
    <t xml:space="preserve">Fallback на HTTP polling, graceful degradation</t>
  </si>
  <si>
    <t xml:space="preserve">Three.js производительность</t>
  </si>
  <si>
    <t xml:space="preserve">LOD модели, progressive loading, mobile fallback на статику</t>
  </si>
  <si>
    <t xml:space="preserve">Smart Match точность</t>
  </si>
  <si>
    <t xml:space="preserve">Fuzzy matching алгоритмы + ручная модерация unrecognized rows</t>
  </si>
  <si>
    <t xml:space="preserve">Масштабирование каталога (&gt;10K товаров)</t>
  </si>
  <si>
    <t xml:space="preserve">Низкая</t>
  </si>
  <si>
    <t xml:space="preserve">Индексы PostgreSQL, пагинация, кэширование Redis</t>
  </si>
  <si>
    <t xml:space="preserve">Текучка команды (bus factor)</t>
  </si>
  <si>
    <t xml:space="preserve">Документация, code review, парное программирование</t>
  </si>
  <si>
    <t xml:space="preserve">Требования i18n (3 языка)</t>
  </si>
  <si>
    <t xml:space="preserve">Единая система ключей, CI проверка полноты переводов</t>
  </si>
  <si>
    <t xml:space="preserve">Интеграция с Excel (разные форматы)</t>
  </si>
  <si>
    <t xml:space="preserve">Pandas + openpyxl, валидация схемы, preview перед импортом</t>
  </si>
  <si>
    <t xml:space="preserve">SSL/Домены/Хостинг в Узбекистане</t>
  </si>
  <si>
    <t xml:space="preserve">Заблаговременная настройка DNS, Let's Encrypt, CDN fallback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</si>
</sst>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E2E8F0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sz val="9"/>
      <color rgb="FF94A3B8"/>
      <name val="Arial"/>
      <family val="0"/>
      <charset val="1"/>
    </font>
    <font>
      <sz val="11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B82F6"/>
      <name val="Arial"/>
      <family val="0"/>
      <charset val="1"/>
    </font>
    <font>
      <b val="true"/>
      <sz val="10"/>
      <color rgb="FFE2E8F0"/>
      <name val="Arial"/>
      <family val="0"/>
      <charset val="1"/>
    </font>
    <font>
      <b val="true"/>
      <sz val="13"/>
      <color rgb="FF22C55E"/>
      <name val="Arial"/>
      <family val="0"/>
      <charset val="1"/>
    </font>
    <font>
      <b val="true"/>
      <sz val="10"/>
      <color rgb="FF94A3B8"/>
      <name val="Arial"/>
      <family val="0"/>
      <charset val="1"/>
    </font>
    <font>
      <b val="true"/>
      <sz val="12"/>
      <color rgb="FF22C55E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94A3B8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F97316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273548"/>
      </patternFill>
    </fill>
    <fill>
      <patternFill patternType="solid">
        <fgColor rgb="FF3B82F6"/>
        <bgColor rgb="FF6366F1"/>
      </patternFill>
    </fill>
    <fill>
      <patternFill patternType="solid">
        <fgColor rgb="FF334155"/>
        <bgColor rgb="FF273548"/>
      </patternFill>
    </fill>
    <fill>
      <patternFill patternType="solid">
        <fgColor rgb="FF273548"/>
        <bgColor rgb="FF1E293B"/>
      </patternFill>
    </fill>
    <fill>
      <patternFill patternType="solid">
        <fgColor rgb="FF1E40AF"/>
        <bgColor rgb="FF334155"/>
      </patternFill>
    </fill>
    <fill>
      <patternFill patternType="solid">
        <fgColor rgb="FFF97316"/>
        <bgColor rgb="FFFB923C"/>
      </patternFill>
    </fill>
    <fill>
      <patternFill patternType="solid">
        <fgColor rgb="FFA855F7"/>
        <bgColor rgb="FF6366F1"/>
      </patternFill>
    </fill>
    <fill>
      <patternFill patternType="solid">
        <fgColor rgb="FF22C55E"/>
        <bgColor rgb="FF10B981"/>
      </patternFill>
    </fill>
    <fill>
      <patternFill patternType="solid">
        <fgColor rgb="FF10B981"/>
        <bgColor rgb="FF22C55E"/>
      </patternFill>
    </fill>
    <fill>
      <patternFill patternType="solid">
        <fgColor rgb="FFFB923C"/>
        <bgColor rgb="FFF59E0B"/>
      </patternFill>
    </fill>
    <fill>
      <patternFill patternType="solid">
        <fgColor rgb="FFF59E0B"/>
        <bgColor rgb="FFFB923C"/>
      </patternFill>
    </fill>
    <fill>
      <patternFill patternType="solid">
        <fgColor rgb="FF38BDF8"/>
        <bgColor rgb="FF10B981"/>
      </patternFill>
    </fill>
    <fill>
      <patternFill patternType="solid">
        <fgColor rgb="FF6366F1"/>
        <bgColor rgb="FF3B82F6"/>
      </patternFill>
    </fill>
    <fill>
      <patternFill patternType="solid">
        <fgColor rgb="FF64748B"/>
        <bgColor rgb="FF475569"/>
      </patternFill>
    </fill>
    <fill>
      <patternFill patternType="solid">
        <fgColor rgb="FF475569"/>
        <bgColor rgb="FF334155"/>
      </patternFill>
    </fill>
    <fill>
      <patternFill patternType="solid">
        <fgColor rgb="FFEF4444"/>
        <bgColor rgb="FFDC2626"/>
      </patternFill>
    </fill>
    <fill>
      <patternFill patternType="solid">
        <fgColor rgb="FFDC2626"/>
        <bgColor rgb="FFEF4444"/>
      </patternFill>
    </fill>
    <fill>
      <patternFill patternType="solid">
        <fgColor rgb="FFFBBF24"/>
        <bgColor rgb="FFF59E0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 diagonalUp="false" diagonalDown="false">
      <left style="thin">
        <color rgb="FF475569"/>
      </left>
      <right/>
      <top style="thin">
        <color rgb="FF475569"/>
      </top>
      <bottom style="thin">
        <color rgb="FF4755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75569"/>
      <rgbColor rgb="FFC0C0C0"/>
      <rgbColor rgb="FF6366F1"/>
      <rgbColor rgb="FFA855F7"/>
      <rgbColor rgb="FFEF4444"/>
      <rgbColor rgb="FFFFFFCC"/>
      <rgbColor rgb="FFE2E8F0"/>
      <rgbColor rgb="FF660066"/>
      <rgbColor rgb="FFFB92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2C55E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8BDF8"/>
      <rgbColor rgb="FF99CC00"/>
      <rgbColor rgb="FFFBBF24"/>
      <rgbColor rgb="FFF59E0B"/>
      <rgbColor rgb="FFF97316"/>
      <rgbColor rgb="FF64748B"/>
      <rgbColor rgb="FF94A3B8"/>
      <rgbColor rgb="FF1E293B"/>
      <rgbColor rgb="FF10B981"/>
      <rgbColor rgb="FF0F172A"/>
      <rgbColor rgb="FF334155"/>
      <rgbColor rgb="FF993300"/>
      <rgbColor rgb="FF993366"/>
      <rgbColor rgb="FF1E40AF"/>
      <rgbColor rgb="FF2735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B2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/>
    </row>
    <row r="7" customFormat="false" ht="15" hidden="false" customHeight="true" outlineLevel="0" collapsed="false">
      <c r="B7" s="5" t="s">
        <v>6</v>
      </c>
      <c r="C7" s="6" t="s">
        <v>7</v>
      </c>
      <c r="D7" s="7" t="s">
        <v>8</v>
      </c>
      <c r="E7" s="7"/>
    </row>
    <row r="8" customFormat="false" ht="15" hidden="false" customHeight="true" outlineLevel="0" collapsed="false">
      <c r="B8" s="8" t="s">
        <v>9</v>
      </c>
      <c r="C8" s="9" t="s">
        <v>10</v>
      </c>
      <c r="D8" s="10" t="s">
        <v>11</v>
      </c>
      <c r="E8" s="10"/>
    </row>
    <row r="9" customFormat="false" ht="15" hidden="false" customHeight="true" outlineLevel="0" collapsed="false">
      <c r="B9" s="5" t="s">
        <v>12</v>
      </c>
      <c r="C9" s="6" t="s">
        <v>13</v>
      </c>
      <c r="D9" s="7" t="s">
        <v>14</v>
      </c>
      <c r="E9" s="7"/>
    </row>
    <row r="10" customFormat="false" ht="15" hidden="false" customHeight="true" outlineLevel="0" collapsed="false">
      <c r="B10" s="8" t="s">
        <v>15</v>
      </c>
      <c r="C10" s="9" t="s">
        <v>16</v>
      </c>
      <c r="D10" s="10" t="s">
        <v>17</v>
      </c>
      <c r="E10" s="10"/>
    </row>
    <row r="11" customFormat="false" ht="15" hidden="false" customHeight="true" outlineLevel="0" collapsed="false">
      <c r="B11" s="5" t="s">
        <v>18</v>
      </c>
      <c r="C11" s="6" t="s">
        <v>19</v>
      </c>
      <c r="D11" s="7" t="s">
        <v>20</v>
      </c>
      <c r="E11" s="7"/>
    </row>
    <row r="12" customFormat="false" ht="15" hidden="false" customHeight="true" outlineLevel="0" collapsed="false">
      <c r="B12" s="8" t="s">
        <v>21</v>
      </c>
      <c r="C12" s="9" t="s">
        <v>22</v>
      </c>
      <c r="D12" s="10" t="s">
        <v>23</v>
      </c>
      <c r="E12" s="10"/>
    </row>
    <row r="13" customFormat="false" ht="15" hidden="false" customHeight="false" outlineLevel="0" collapsed="false">
      <c r="B13" s="11"/>
      <c r="C13" s="11"/>
      <c r="D13" s="11"/>
      <c r="E13" s="11"/>
    </row>
    <row r="14" customFormat="false" ht="15" hidden="false" customHeight="true" outlineLevel="0" collapsed="false">
      <c r="B14" s="8" t="s">
        <v>24</v>
      </c>
      <c r="C14" s="9" t="s">
        <v>25</v>
      </c>
      <c r="D14" s="10" t="s">
        <v>26</v>
      </c>
      <c r="E14" s="10"/>
    </row>
    <row r="15" customFormat="false" ht="15" hidden="false" customHeight="true" outlineLevel="0" collapsed="false">
      <c r="B15" s="5" t="s">
        <v>27</v>
      </c>
      <c r="C15" s="6" t="s">
        <v>28</v>
      </c>
      <c r="D15" s="7" t="s">
        <v>29</v>
      </c>
      <c r="E15" s="7"/>
    </row>
    <row r="16" customFormat="false" ht="22.35" hidden="false" customHeight="true" outlineLevel="0" collapsed="false">
      <c r="B16" s="8" t="s">
        <v>30</v>
      </c>
      <c r="C16" s="9" t="s">
        <v>31</v>
      </c>
      <c r="D16" s="10" t="s">
        <v>32</v>
      </c>
      <c r="E16" s="10"/>
    </row>
    <row r="17" customFormat="false" ht="15" hidden="false" customHeight="true" outlineLevel="0" collapsed="false">
      <c r="B17" s="5" t="s">
        <v>33</v>
      </c>
      <c r="C17" s="6" t="s">
        <v>34</v>
      </c>
      <c r="D17" s="7" t="s">
        <v>35</v>
      </c>
      <c r="E17" s="7"/>
    </row>
    <row r="18" customFormat="false" ht="15" hidden="false" customHeight="true" outlineLevel="0" collapsed="false">
      <c r="B18" s="8" t="s">
        <v>36</v>
      </c>
      <c r="C18" s="9" t="s">
        <v>37</v>
      </c>
      <c r="D18" s="10" t="s">
        <v>38</v>
      </c>
      <c r="E18" s="10"/>
    </row>
    <row r="19" customFormat="false" ht="15" hidden="false" customHeight="true" outlineLevel="0" collapsed="false">
      <c r="B19" s="5" t="s">
        <v>39</v>
      </c>
      <c r="C19" s="6" t="s">
        <v>40</v>
      </c>
      <c r="D19" s="7" t="s">
        <v>41</v>
      </c>
      <c r="E19" s="7"/>
    </row>
    <row r="20" customFormat="false" ht="15" hidden="false" customHeight="true" outlineLevel="0" collapsed="false">
      <c r="B20" s="8" t="s">
        <v>42</v>
      </c>
      <c r="C20" s="9" t="s">
        <v>43</v>
      </c>
      <c r="D20" s="10" t="s">
        <v>44</v>
      </c>
      <c r="E20" s="10"/>
    </row>
    <row r="21" customFormat="false" ht="15" hidden="false" customHeight="true" outlineLevel="0" collapsed="false">
      <c r="B21" s="5" t="s">
        <v>45</v>
      </c>
      <c r="C21" s="6" t="s">
        <v>46</v>
      </c>
      <c r="D21" s="7" t="s">
        <v>47</v>
      </c>
      <c r="E21" s="7"/>
    </row>
    <row r="22" customFormat="false" ht="15" hidden="false" customHeight="true" outlineLevel="0" collapsed="false">
      <c r="B22" s="8" t="s">
        <v>48</v>
      </c>
      <c r="C22" s="9" t="s">
        <v>49</v>
      </c>
      <c r="D22" s="10" t="s">
        <v>50</v>
      </c>
      <c r="E22" s="10"/>
    </row>
    <row r="23" customFormat="false" ht="15" hidden="false" customHeight="false" outlineLevel="0" collapsed="false">
      <c r="B23" s="11"/>
      <c r="C23" s="11"/>
      <c r="D23" s="11"/>
      <c r="E23" s="11"/>
    </row>
    <row r="24" customFormat="false" ht="15" hidden="false" customHeight="true" outlineLevel="0" collapsed="false">
      <c r="B24" s="8" t="s">
        <v>51</v>
      </c>
      <c r="C24" s="9" t="s">
        <v>52</v>
      </c>
      <c r="D24" s="10" t="s">
        <v>53</v>
      </c>
      <c r="E24" s="10"/>
    </row>
    <row r="25" customFormat="false" ht="15" hidden="false" customHeight="true" outlineLevel="0" collapsed="false">
      <c r="B25" s="5" t="s">
        <v>54</v>
      </c>
      <c r="C25" s="6" t="s">
        <v>55</v>
      </c>
      <c r="D25" s="7" t="s">
        <v>56</v>
      </c>
      <c r="E25" s="7"/>
    </row>
    <row r="26" customFormat="false" ht="15" hidden="false" customHeight="true" outlineLevel="0" collapsed="false">
      <c r="B26" s="8" t="s">
        <v>57</v>
      </c>
      <c r="C26" s="9" t="s">
        <v>58</v>
      </c>
      <c r="D26" s="10" t="s">
        <v>59</v>
      </c>
      <c r="E26" s="10"/>
    </row>
    <row r="27" customFormat="false" ht="15" hidden="false" customHeight="true" outlineLevel="0" collapsed="false">
      <c r="B27" s="5" t="s">
        <v>60</v>
      </c>
      <c r="C27" s="6" t="s">
        <v>61</v>
      </c>
      <c r="D27" s="7" t="s">
        <v>62</v>
      </c>
      <c r="E27" s="7"/>
    </row>
    <row r="28" customFormat="false" ht="15" hidden="false" customHeight="true" outlineLevel="0" collapsed="false">
      <c r="B28" s="8" t="s">
        <v>63</v>
      </c>
      <c r="C28" s="9" t="s">
        <v>64</v>
      </c>
      <c r="D28" s="10" t="s">
        <v>65</v>
      </c>
      <c r="E28" s="10"/>
    </row>
  </sheetData>
  <mergeCells count="24">
    <mergeCell ref="B2:E2"/>
    <mergeCell ref="B3:E3"/>
    <mergeCell ref="B5:E5"/>
    <mergeCell ref="D6:E6"/>
    <mergeCell ref="D7:E7"/>
    <mergeCell ref="D8:E8"/>
    <mergeCell ref="D9:E9"/>
    <mergeCell ref="D10:E10"/>
    <mergeCell ref="D11:E11"/>
    <mergeCell ref="D12:E1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4:E24"/>
    <mergeCell ref="D25:E25"/>
    <mergeCell ref="D26:E26"/>
    <mergeCell ref="D27:E27"/>
    <mergeCell ref="D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45"/>
  </cols>
  <sheetData>
    <row r="2" customFormat="false" ht="19.7" hidden="false" customHeight="false" outlineLevel="0" collapsed="false">
      <c r="B2" s="1" t="s">
        <v>66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67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68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  <c r="H5" s="4" t="s">
        <v>74</v>
      </c>
    </row>
    <row r="6" customFormat="false" ht="15" hidden="false" customHeight="false" outlineLevel="0" collapsed="false">
      <c r="B6" s="12" t="s">
        <v>75</v>
      </c>
      <c r="C6" s="12"/>
      <c r="D6" s="12"/>
      <c r="E6" s="12"/>
      <c r="F6" s="12"/>
      <c r="G6" s="12"/>
      <c r="H6" s="12"/>
    </row>
    <row r="7" customFormat="false" ht="27.75" hidden="false" customHeight="true" outlineLevel="0" collapsed="false">
      <c r="B7" s="8" t="s">
        <v>76</v>
      </c>
      <c r="C7" s="13" t="n">
        <v>1</v>
      </c>
      <c r="D7" s="14" t="n">
        <v>45</v>
      </c>
      <c r="E7" s="15" t="n">
        <v>15</v>
      </c>
      <c r="F7" s="13" t="n">
        <f aca="false">E7*8</f>
        <v>120</v>
      </c>
      <c r="G7" s="16" t="n">
        <f aca="false">F7*D7</f>
        <v>5400</v>
      </c>
      <c r="H7" s="17" t="s">
        <v>77</v>
      </c>
    </row>
    <row r="8" customFormat="false" ht="27.75" hidden="false" customHeight="true" outlineLevel="0" collapsed="false">
      <c r="B8" s="5" t="s">
        <v>78</v>
      </c>
      <c r="C8" s="18" t="n">
        <v>1</v>
      </c>
      <c r="D8" s="19" t="n">
        <v>40</v>
      </c>
      <c r="E8" s="20" t="n">
        <v>20</v>
      </c>
      <c r="F8" s="18" t="n">
        <f aca="false">E8*8</f>
        <v>160</v>
      </c>
      <c r="G8" s="21" t="n">
        <f aca="false">F8*D8</f>
        <v>6400</v>
      </c>
      <c r="H8" s="22" t="s">
        <v>79</v>
      </c>
    </row>
    <row r="9" customFormat="false" ht="27.75" hidden="false" customHeight="true" outlineLevel="0" collapsed="false">
      <c r="B9" s="8" t="s">
        <v>80</v>
      </c>
      <c r="C9" s="13" t="n">
        <v>1</v>
      </c>
      <c r="D9" s="14" t="n">
        <v>60</v>
      </c>
      <c r="E9" s="15" t="n">
        <v>10</v>
      </c>
      <c r="F9" s="13" t="n">
        <f aca="false">E9*8</f>
        <v>80</v>
      </c>
      <c r="G9" s="16" t="n">
        <f aca="false">F9*D9</f>
        <v>4800</v>
      </c>
      <c r="H9" s="17" t="s">
        <v>81</v>
      </c>
    </row>
    <row r="10" customFormat="false" ht="15" hidden="false" customHeight="false" outlineLevel="0" collapsed="false"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B11" s="12" t="s">
        <v>82</v>
      </c>
      <c r="C11" s="12"/>
      <c r="D11" s="12"/>
      <c r="E11" s="12"/>
      <c r="F11" s="12"/>
      <c r="G11" s="12"/>
      <c r="H11" s="12"/>
    </row>
    <row r="12" customFormat="false" ht="27.75" hidden="false" customHeight="true" outlineLevel="0" collapsed="false">
      <c r="B12" s="5" t="s">
        <v>83</v>
      </c>
      <c r="C12" s="18" t="n">
        <v>1</v>
      </c>
      <c r="D12" s="19" t="n">
        <v>55</v>
      </c>
      <c r="E12" s="20" t="n">
        <v>45</v>
      </c>
      <c r="F12" s="18" t="n">
        <f aca="false">E12*8</f>
        <v>360</v>
      </c>
      <c r="G12" s="21" t="n">
        <f aca="false">F12*D12</f>
        <v>19800</v>
      </c>
      <c r="H12" s="22" t="s">
        <v>84</v>
      </c>
    </row>
    <row r="13" customFormat="false" ht="27.75" hidden="false" customHeight="true" outlineLevel="0" collapsed="false">
      <c r="B13" s="8" t="s">
        <v>85</v>
      </c>
      <c r="C13" s="13" t="n">
        <v>1</v>
      </c>
      <c r="D13" s="14" t="n">
        <v>40</v>
      </c>
      <c r="E13" s="15" t="n">
        <v>40</v>
      </c>
      <c r="F13" s="13" t="n">
        <f aca="false">E13*8</f>
        <v>320</v>
      </c>
      <c r="G13" s="16" t="n">
        <f aca="false">F13*D13</f>
        <v>12800</v>
      </c>
      <c r="H13" s="17" t="s">
        <v>86</v>
      </c>
    </row>
    <row r="14" customFormat="false" ht="27.75" hidden="false" customHeight="true" outlineLevel="0" collapsed="false">
      <c r="B14" s="5" t="s">
        <v>87</v>
      </c>
      <c r="C14" s="18" t="n">
        <v>1</v>
      </c>
      <c r="D14" s="19" t="n">
        <v>35</v>
      </c>
      <c r="E14" s="20" t="n">
        <v>35</v>
      </c>
      <c r="F14" s="18" t="n">
        <f aca="false">E14*8</f>
        <v>280</v>
      </c>
      <c r="G14" s="21" t="n">
        <f aca="false">F14*D14</f>
        <v>9800</v>
      </c>
      <c r="H14" s="22" t="s">
        <v>88</v>
      </c>
    </row>
    <row r="15" customFormat="false" ht="15" hidden="false" customHeight="false" outlineLevel="0" collapsed="false"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B16" s="12" t="s">
        <v>89</v>
      </c>
      <c r="C16" s="12"/>
      <c r="D16" s="12"/>
      <c r="E16" s="12"/>
      <c r="F16" s="12"/>
      <c r="G16" s="12"/>
      <c r="H16" s="12"/>
    </row>
    <row r="17" customFormat="false" ht="27.75" hidden="false" customHeight="true" outlineLevel="0" collapsed="false">
      <c r="B17" s="8" t="s">
        <v>90</v>
      </c>
      <c r="C17" s="13" t="n">
        <v>1</v>
      </c>
      <c r="D17" s="14" t="n">
        <v>50</v>
      </c>
      <c r="E17" s="15" t="n">
        <v>50</v>
      </c>
      <c r="F17" s="13" t="n">
        <f aca="false">E17*8</f>
        <v>400</v>
      </c>
      <c r="G17" s="16" t="n">
        <f aca="false">F17*D17</f>
        <v>20000</v>
      </c>
      <c r="H17" s="17" t="s">
        <v>91</v>
      </c>
    </row>
    <row r="18" customFormat="false" ht="27.75" hidden="false" customHeight="true" outlineLevel="0" collapsed="false">
      <c r="B18" s="5" t="s">
        <v>92</v>
      </c>
      <c r="C18" s="18" t="n">
        <v>1</v>
      </c>
      <c r="D18" s="19" t="n">
        <v>40</v>
      </c>
      <c r="E18" s="20" t="n">
        <v>45</v>
      </c>
      <c r="F18" s="18" t="n">
        <f aca="false">E18*8</f>
        <v>360</v>
      </c>
      <c r="G18" s="21" t="n">
        <f aca="false">F18*D18</f>
        <v>14400</v>
      </c>
      <c r="H18" s="22" t="s">
        <v>93</v>
      </c>
    </row>
    <row r="19" customFormat="false" ht="27.75" hidden="false" customHeight="true" outlineLevel="0" collapsed="false">
      <c r="B19" s="8" t="s">
        <v>94</v>
      </c>
      <c r="C19" s="13" t="n">
        <v>1</v>
      </c>
      <c r="D19" s="14" t="n">
        <v>35</v>
      </c>
      <c r="E19" s="15" t="n">
        <v>40</v>
      </c>
      <c r="F19" s="13" t="n">
        <f aca="false">E19*8</f>
        <v>320</v>
      </c>
      <c r="G19" s="16" t="n">
        <f aca="false">F19*D19</f>
        <v>11200</v>
      </c>
      <c r="H19" s="17" t="s">
        <v>95</v>
      </c>
    </row>
    <row r="20" customFormat="false" ht="27.75" hidden="false" customHeight="true" outlineLevel="0" collapsed="false">
      <c r="B20" s="5" t="s">
        <v>96</v>
      </c>
      <c r="C20" s="18" t="n">
        <v>1</v>
      </c>
      <c r="D20" s="19" t="n">
        <v>25</v>
      </c>
      <c r="E20" s="20" t="n">
        <v>30</v>
      </c>
      <c r="F20" s="18" t="n">
        <f aca="false">E20*8</f>
        <v>240</v>
      </c>
      <c r="G20" s="21" t="n">
        <f aca="false">F20*D20</f>
        <v>6000</v>
      </c>
      <c r="H20" s="22" t="s">
        <v>97</v>
      </c>
    </row>
    <row r="21" customFormat="false" ht="15" hidden="false" customHeight="false" outlineLevel="0" collapsed="false"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B22" s="12" t="s">
        <v>98</v>
      </c>
      <c r="C22" s="12"/>
      <c r="D22" s="12"/>
      <c r="E22" s="12"/>
      <c r="F22" s="12"/>
      <c r="G22" s="12"/>
      <c r="H22" s="12"/>
    </row>
    <row r="23" customFormat="false" ht="27.75" hidden="false" customHeight="true" outlineLevel="0" collapsed="false">
      <c r="B23" s="8" t="s">
        <v>99</v>
      </c>
      <c r="C23" s="13" t="n">
        <v>1</v>
      </c>
      <c r="D23" s="14" t="n">
        <v>50</v>
      </c>
      <c r="E23" s="15" t="n">
        <v>20</v>
      </c>
      <c r="F23" s="13" t="n">
        <f aca="false">E23*8</f>
        <v>160</v>
      </c>
      <c r="G23" s="16" t="n">
        <f aca="false">F23*D23</f>
        <v>8000</v>
      </c>
      <c r="H23" s="17" t="s">
        <v>100</v>
      </c>
    </row>
    <row r="24" customFormat="false" ht="27.75" hidden="false" customHeight="true" outlineLevel="0" collapsed="false">
      <c r="B24" s="5" t="s">
        <v>101</v>
      </c>
      <c r="C24" s="18" t="n">
        <v>1</v>
      </c>
      <c r="D24" s="19" t="n">
        <v>35</v>
      </c>
      <c r="E24" s="20" t="n">
        <v>15</v>
      </c>
      <c r="F24" s="18" t="n">
        <f aca="false">E24*8</f>
        <v>120</v>
      </c>
      <c r="G24" s="21" t="n">
        <f aca="false">F24*D24</f>
        <v>4200</v>
      </c>
      <c r="H24" s="22" t="s">
        <v>102</v>
      </c>
    </row>
    <row r="25" customFormat="false" ht="27.75" hidden="false" customHeight="true" outlineLevel="0" collapsed="false">
      <c r="B25" s="8" t="s">
        <v>103</v>
      </c>
      <c r="C25" s="13" t="n">
        <v>1</v>
      </c>
      <c r="D25" s="14" t="n">
        <v>45</v>
      </c>
      <c r="E25" s="15" t="n">
        <v>5</v>
      </c>
      <c r="F25" s="13" t="n">
        <f aca="false">E25*8</f>
        <v>40</v>
      </c>
      <c r="G25" s="16" t="n">
        <f aca="false">F25*D25</f>
        <v>1800</v>
      </c>
      <c r="H25" s="17" t="s">
        <v>104</v>
      </c>
    </row>
    <row r="26" customFormat="false" ht="15" hidden="false" customHeight="false" outlineLevel="0" collapsed="false"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B27" s="12" t="s">
        <v>105</v>
      </c>
      <c r="C27" s="12"/>
      <c r="D27" s="12"/>
      <c r="E27" s="12"/>
      <c r="F27" s="12"/>
      <c r="G27" s="12"/>
      <c r="H27" s="12"/>
    </row>
    <row r="28" customFormat="false" ht="27.75" hidden="false" customHeight="true" outlineLevel="0" collapsed="false">
      <c r="B28" s="5" t="s">
        <v>106</v>
      </c>
      <c r="C28" s="18" t="n">
        <v>1</v>
      </c>
      <c r="D28" s="19" t="n">
        <v>50</v>
      </c>
      <c r="E28" s="20" t="n">
        <v>20</v>
      </c>
      <c r="F28" s="18" t="n">
        <f aca="false">E28*8</f>
        <v>160</v>
      </c>
      <c r="G28" s="21" t="n">
        <f aca="false">F28*D28</f>
        <v>8000</v>
      </c>
      <c r="H28" s="22" t="s">
        <v>107</v>
      </c>
    </row>
    <row r="29" customFormat="false" ht="15" hidden="false" customHeight="false" outlineLevel="0" collapsed="false"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B30" s="12" t="s">
        <v>108</v>
      </c>
      <c r="C30" s="12"/>
      <c r="D30" s="12"/>
      <c r="E30" s="12"/>
      <c r="F30" s="12"/>
      <c r="G30" s="12"/>
      <c r="H30" s="12"/>
    </row>
    <row r="31" customFormat="false" ht="27.75" hidden="false" customHeight="true" outlineLevel="0" collapsed="false">
      <c r="B31" s="8" t="s">
        <v>109</v>
      </c>
      <c r="C31" s="13" t="n">
        <v>1</v>
      </c>
      <c r="D31" s="14" t="n">
        <v>40</v>
      </c>
      <c r="E31" s="15" t="n">
        <v>30</v>
      </c>
      <c r="F31" s="13" t="n">
        <f aca="false">E31*8</f>
        <v>240</v>
      </c>
      <c r="G31" s="16" t="n">
        <f aca="false">F31*D31</f>
        <v>9600</v>
      </c>
      <c r="H31" s="17" t="s">
        <v>110</v>
      </c>
    </row>
    <row r="32" customFormat="false" ht="27.75" hidden="false" customHeight="true" outlineLevel="0" collapsed="false">
      <c r="B32" s="5" t="s">
        <v>111</v>
      </c>
      <c r="C32" s="18" t="n">
        <v>1</v>
      </c>
      <c r="D32" s="19" t="n">
        <v>30</v>
      </c>
      <c r="E32" s="20" t="n">
        <v>25</v>
      </c>
      <c r="F32" s="18" t="n">
        <f aca="false">E32*8</f>
        <v>200</v>
      </c>
      <c r="G32" s="21" t="n">
        <f aca="false">F32*D32</f>
        <v>6000</v>
      </c>
      <c r="H32" s="22" t="s">
        <v>112</v>
      </c>
    </row>
    <row r="33" customFormat="false" ht="15" hidden="false" customHeight="false" outlineLevel="0" collapsed="false"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B34" s="12" t="s">
        <v>113</v>
      </c>
      <c r="C34" s="12"/>
      <c r="D34" s="12"/>
      <c r="E34" s="12"/>
      <c r="F34" s="12"/>
      <c r="G34" s="12"/>
      <c r="H34" s="12"/>
    </row>
    <row r="35" customFormat="false" ht="27.75" hidden="false" customHeight="true" outlineLevel="0" collapsed="false">
      <c r="B35" s="8" t="s">
        <v>114</v>
      </c>
      <c r="C35" s="13" t="n">
        <v>1</v>
      </c>
      <c r="D35" s="14" t="n">
        <v>45</v>
      </c>
      <c r="E35" s="15" t="n">
        <v>60</v>
      </c>
      <c r="F35" s="13" t="n">
        <f aca="false">E35*8</f>
        <v>480</v>
      </c>
      <c r="G35" s="16" t="n">
        <f aca="false">F35*D35</f>
        <v>21600</v>
      </c>
      <c r="H35" s="17" t="s">
        <v>115</v>
      </c>
    </row>
    <row r="37" customFormat="false" ht="16.15" hidden="false" customHeight="false" outlineLevel="0" collapsed="false">
      <c r="B37" s="23" t="s">
        <v>116</v>
      </c>
      <c r="C37" s="23"/>
      <c r="D37" s="23"/>
      <c r="E37" s="23"/>
      <c r="F37" s="24" t="n">
        <f aca="false">SUM(F6:F36)</f>
        <v>4040</v>
      </c>
      <c r="G37" s="25" t="n">
        <f aca="false">SUM(G6:G36)</f>
        <v>169800</v>
      </c>
      <c r="H37" s="26" t="s">
        <v>117</v>
      </c>
    </row>
    <row r="39" customFormat="false" ht="15" hidden="false" customHeight="false" outlineLevel="0" collapsed="false">
      <c r="B39" s="27" t="s">
        <v>118</v>
      </c>
      <c r="C39" s="27"/>
      <c r="D39" s="27"/>
      <c r="E39" s="27"/>
      <c r="F39" s="27"/>
      <c r="G39" s="27"/>
      <c r="H39" s="27"/>
    </row>
    <row r="40" customFormat="false" ht="15" hidden="false" customHeight="false" outlineLevel="0" collapsed="false">
      <c r="B40" s="5" t="s">
        <v>119</v>
      </c>
      <c r="C40" s="5"/>
      <c r="D40" s="5"/>
      <c r="E40" s="28" t="n">
        <f aca="false">COUNTA(B7:B35)-COUNTBLANK(B7:B35)</f>
        <v>17</v>
      </c>
      <c r="F40" s="29" t="s">
        <v>120</v>
      </c>
      <c r="G40" s="29"/>
      <c r="H40" s="29"/>
    </row>
    <row r="41" customFormat="false" ht="15" hidden="false" customHeight="false" outlineLevel="0" collapsed="false">
      <c r="B41" s="8" t="s">
        <v>121</v>
      </c>
      <c r="C41" s="8"/>
      <c r="D41" s="8"/>
      <c r="E41" s="30" t="s">
        <v>122</v>
      </c>
      <c r="F41" s="31" t="s">
        <v>123</v>
      </c>
      <c r="G41" s="31"/>
      <c r="H41" s="31"/>
    </row>
    <row r="42" customFormat="false" ht="15" hidden="false" customHeight="false" outlineLevel="0" collapsed="false">
      <c r="B42" s="5" t="s">
        <v>124</v>
      </c>
      <c r="C42" s="5"/>
      <c r="D42" s="5"/>
      <c r="E42" s="28" t="s">
        <v>125</v>
      </c>
      <c r="F42" s="29" t="s">
        <v>126</v>
      </c>
      <c r="G42" s="29"/>
      <c r="H42" s="29"/>
    </row>
    <row r="43" customFormat="false" ht="15" hidden="false" customHeight="false" outlineLevel="0" collapsed="false">
      <c r="B43" s="8" t="s">
        <v>127</v>
      </c>
      <c r="C43" s="8"/>
      <c r="D43" s="8"/>
      <c r="E43" s="30" t="n">
        <f aca="false">F37</f>
        <v>4040</v>
      </c>
      <c r="F43" s="31" t="s">
        <v>128</v>
      </c>
      <c r="G43" s="31"/>
      <c r="H43" s="31"/>
    </row>
    <row r="44" customFormat="false" ht="15" hidden="false" customHeight="false" outlineLevel="0" collapsed="false">
      <c r="B44" s="5" t="s">
        <v>129</v>
      </c>
      <c r="C44" s="5"/>
      <c r="D44" s="5"/>
      <c r="E44" s="28" t="n">
        <f aca="false">ROUND(G37/F37,0)</f>
        <v>42</v>
      </c>
      <c r="F44" s="29" t="s">
        <v>130</v>
      </c>
      <c r="G44" s="29"/>
      <c r="H44" s="29"/>
    </row>
  </sheetData>
  <mergeCells count="21">
    <mergeCell ref="B2:H2"/>
    <mergeCell ref="B3:H3"/>
    <mergeCell ref="B6:H6"/>
    <mergeCell ref="B11:H11"/>
    <mergeCell ref="B16:H16"/>
    <mergeCell ref="B22:H22"/>
    <mergeCell ref="B27:H27"/>
    <mergeCell ref="B30:H30"/>
    <mergeCell ref="B34:H34"/>
    <mergeCell ref="B37:E37"/>
    <mergeCell ref="B39:H39"/>
    <mergeCell ref="B40:D40"/>
    <mergeCell ref="F40:H40"/>
    <mergeCell ref="B41:D41"/>
    <mergeCell ref="F41:H41"/>
    <mergeCell ref="B42:D42"/>
    <mergeCell ref="F42:H42"/>
    <mergeCell ref="B43:D43"/>
    <mergeCell ref="F43:H43"/>
    <mergeCell ref="B44:D44"/>
    <mergeCell ref="F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B2: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23" min="5" style="0" width="5"/>
  </cols>
  <sheetData>
    <row r="2" customFormat="false" ht="17.35" hidden="false" customHeight="false" outlineLevel="0" collapsed="false">
      <c r="B2" s="32" t="s">
        <v>131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4" customFormat="false" ht="15" hidden="false" customHeight="false" outlineLevel="0" collapsed="false">
      <c r="B4" s="33" t="s">
        <v>132</v>
      </c>
      <c r="C4" s="4" t="s">
        <v>133</v>
      </c>
      <c r="D4" s="4" t="s">
        <v>134</v>
      </c>
      <c r="E4" s="34" t="s">
        <v>135</v>
      </c>
      <c r="F4" s="34" t="s">
        <v>136</v>
      </c>
      <c r="G4" s="34" t="s">
        <v>137</v>
      </c>
      <c r="H4" s="34" t="s">
        <v>138</v>
      </c>
      <c r="I4" s="34" t="s">
        <v>139</v>
      </c>
      <c r="J4" s="34" t="s">
        <v>140</v>
      </c>
      <c r="K4" s="34" t="s">
        <v>141</v>
      </c>
      <c r="L4" s="34" t="s">
        <v>142</v>
      </c>
      <c r="M4" s="34" t="s">
        <v>143</v>
      </c>
      <c r="N4" s="34" t="s">
        <v>144</v>
      </c>
      <c r="O4" s="34" t="s">
        <v>145</v>
      </c>
      <c r="P4" s="34" t="s">
        <v>146</v>
      </c>
      <c r="Q4" s="34" t="s">
        <v>147</v>
      </c>
      <c r="R4" s="34" t="s">
        <v>148</v>
      </c>
      <c r="S4" s="34" t="s">
        <v>149</v>
      </c>
      <c r="T4" s="34" t="s">
        <v>150</v>
      </c>
      <c r="U4" s="34" t="s">
        <v>151</v>
      </c>
      <c r="V4" s="34" t="s">
        <v>152</v>
      </c>
      <c r="W4" s="34" t="s">
        <v>153</v>
      </c>
    </row>
    <row r="5" customFormat="false" ht="15" hidden="false" customHeight="false" outlineLevel="0" collapsed="false">
      <c r="B5" s="5" t="s">
        <v>154</v>
      </c>
      <c r="C5" s="35" t="s">
        <v>135</v>
      </c>
      <c r="D5" s="35" t="s">
        <v>137</v>
      </c>
      <c r="E5" s="36" t="s">
        <v>155</v>
      </c>
      <c r="F5" s="36" t="s">
        <v>155</v>
      </c>
      <c r="G5" s="36" t="s">
        <v>155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customFormat="false" ht="15" hidden="false" customHeight="false" outlineLevel="0" collapsed="false">
      <c r="B6" s="8" t="s">
        <v>156</v>
      </c>
      <c r="C6" s="38" t="s">
        <v>136</v>
      </c>
      <c r="D6" s="38" t="s">
        <v>139</v>
      </c>
      <c r="E6" s="39"/>
      <c r="F6" s="40" t="s">
        <v>155</v>
      </c>
      <c r="G6" s="40" t="s">
        <v>155</v>
      </c>
      <c r="H6" s="40" t="s">
        <v>155</v>
      </c>
      <c r="I6" s="40" t="s">
        <v>155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 customFormat="false" ht="15" hidden="false" customHeight="false" outlineLevel="0" collapsed="false">
      <c r="B7" s="5" t="s">
        <v>157</v>
      </c>
      <c r="C7" s="35" t="s">
        <v>137</v>
      </c>
      <c r="D7" s="35" t="s">
        <v>142</v>
      </c>
      <c r="E7" s="37"/>
      <c r="F7" s="37"/>
      <c r="G7" s="41" t="s">
        <v>155</v>
      </c>
      <c r="H7" s="41" t="s">
        <v>155</v>
      </c>
      <c r="I7" s="41" t="s">
        <v>155</v>
      </c>
      <c r="J7" s="41" t="s">
        <v>155</v>
      </c>
      <c r="K7" s="41" t="s">
        <v>155</v>
      </c>
      <c r="L7" s="41" t="s">
        <v>155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customFormat="false" ht="15" hidden="false" customHeight="false" outlineLevel="0" collapsed="false">
      <c r="B8" s="8" t="s">
        <v>158</v>
      </c>
      <c r="C8" s="38" t="s">
        <v>140</v>
      </c>
      <c r="D8" s="38" t="s">
        <v>146</v>
      </c>
      <c r="E8" s="39"/>
      <c r="F8" s="39"/>
      <c r="G8" s="39"/>
      <c r="H8" s="39"/>
      <c r="I8" s="39"/>
      <c r="J8" s="42" t="s">
        <v>155</v>
      </c>
      <c r="K8" s="42" t="s">
        <v>155</v>
      </c>
      <c r="L8" s="42" t="s">
        <v>155</v>
      </c>
      <c r="M8" s="42" t="s">
        <v>155</v>
      </c>
      <c r="N8" s="42" t="s">
        <v>155</v>
      </c>
      <c r="O8" s="42" t="s">
        <v>155</v>
      </c>
      <c r="P8" s="42" t="s">
        <v>155</v>
      </c>
      <c r="Q8" s="39"/>
      <c r="R8" s="39"/>
      <c r="S8" s="39"/>
      <c r="T8" s="39"/>
      <c r="U8" s="39"/>
      <c r="V8" s="39"/>
      <c r="W8" s="39"/>
    </row>
    <row r="9" customFormat="false" ht="15" hidden="false" customHeight="false" outlineLevel="0" collapsed="false">
      <c r="B9" s="5" t="s">
        <v>159</v>
      </c>
      <c r="C9" s="35" t="s">
        <v>139</v>
      </c>
      <c r="D9" s="35" t="s">
        <v>142</v>
      </c>
      <c r="E9" s="37"/>
      <c r="F9" s="37"/>
      <c r="G9" s="37"/>
      <c r="H9" s="37"/>
      <c r="I9" s="43" t="s">
        <v>155</v>
      </c>
      <c r="J9" s="43" t="s">
        <v>155</v>
      </c>
      <c r="K9" s="43" t="s">
        <v>155</v>
      </c>
      <c r="L9" s="43" t="s">
        <v>155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customFormat="false" ht="15" hidden="false" customHeight="false" outlineLevel="0" collapsed="false">
      <c r="B10" s="8" t="s">
        <v>160</v>
      </c>
      <c r="C10" s="38" t="s">
        <v>141</v>
      </c>
      <c r="D10" s="38" t="s">
        <v>147</v>
      </c>
      <c r="E10" s="39"/>
      <c r="F10" s="39"/>
      <c r="G10" s="39"/>
      <c r="H10" s="39"/>
      <c r="I10" s="39"/>
      <c r="J10" s="39"/>
      <c r="K10" s="44" t="s">
        <v>155</v>
      </c>
      <c r="L10" s="44" t="s">
        <v>155</v>
      </c>
      <c r="M10" s="44" t="s">
        <v>155</v>
      </c>
      <c r="N10" s="44" t="s">
        <v>155</v>
      </c>
      <c r="O10" s="44" t="s">
        <v>155</v>
      </c>
      <c r="P10" s="44" t="s">
        <v>155</v>
      </c>
      <c r="Q10" s="44" t="s">
        <v>155</v>
      </c>
      <c r="R10" s="39"/>
      <c r="S10" s="39"/>
      <c r="T10" s="39"/>
      <c r="U10" s="39"/>
      <c r="V10" s="39"/>
      <c r="W10" s="39"/>
    </row>
    <row r="11" customFormat="false" ht="15" hidden="false" customHeight="false" outlineLevel="0" collapsed="false">
      <c r="B11" s="5" t="s">
        <v>161</v>
      </c>
      <c r="C11" s="35" t="s">
        <v>143</v>
      </c>
      <c r="D11" s="35" t="s">
        <v>149</v>
      </c>
      <c r="E11" s="37"/>
      <c r="F11" s="37"/>
      <c r="G11" s="37"/>
      <c r="H11" s="37"/>
      <c r="I11" s="37"/>
      <c r="J11" s="37"/>
      <c r="K11" s="37"/>
      <c r="L11" s="37"/>
      <c r="M11" s="45" t="s">
        <v>155</v>
      </c>
      <c r="N11" s="45" t="s">
        <v>155</v>
      </c>
      <c r="O11" s="45" t="s">
        <v>155</v>
      </c>
      <c r="P11" s="45" t="s">
        <v>155</v>
      </c>
      <c r="Q11" s="45" t="s">
        <v>155</v>
      </c>
      <c r="R11" s="45" t="s">
        <v>155</v>
      </c>
      <c r="S11" s="45" t="s">
        <v>155</v>
      </c>
      <c r="T11" s="37"/>
      <c r="U11" s="37"/>
      <c r="V11" s="37"/>
      <c r="W11" s="37"/>
    </row>
    <row r="12" customFormat="false" ht="15" hidden="false" customHeight="false" outlineLevel="0" collapsed="false">
      <c r="B12" s="8" t="s">
        <v>162</v>
      </c>
      <c r="C12" s="38" t="s">
        <v>142</v>
      </c>
      <c r="D12" s="38" t="s">
        <v>147</v>
      </c>
      <c r="E12" s="39"/>
      <c r="F12" s="39"/>
      <c r="G12" s="39"/>
      <c r="H12" s="39"/>
      <c r="I12" s="39"/>
      <c r="J12" s="39"/>
      <c r="K12" s="39"/>
      <c r="L12" s="46" t="s">
        <v>155</v>
      </c>
      <c r="M12" s="46" t="s">
        <v>155</v>
      </c>
      <c r="N12" s="46" t="s">
        <v>155</v>
      </c>
      <c r="O12" s="46" t="s">
        <v>155</v>
      </c>
      <c r="P12" s="46" t="s">
        <v>155</v>
      </c>
      <c r="Q12" s="46" t="s">
        <v>155</v>
      </c>
      <c r="R12" s="39"/>
      <c r="S12" s="39"/>
      <c r="T12" s="39"/>
      <c r="U12" s="39"/>
      <c r="V12" s="39"/>
      <c r="W12" s="39"/>
    </row>
    <row r="13" customFormat="false" ht="15" hidden="false" customHeight="false" outlineLevel="0" collapsed="false">
      <c r="B13" s="5" t="s">
        <v>163</v>
      </c>
      <c r="C13" s="35" t="s">
        <v>144</v>
      </c>
      <c r="D13" s="35" t="s">
        <v>147</v>
      </c>
      <c r="E13" s="37"/>
      <c r="F13" s="37"/>
      <c r="G13" s="37"/>
      <c r="H13" s="37"/>
      <c r="I13" s="37"/>
      <c r="J13" s="37"/>
      <c r="K13" s="37"/>
      <c r="L13" s="37"/>
      <c r="M13" s="37"/>
      <c r="N13" s="47" t="s">
        <v>155</v>
      </c>
      <c r="O13" s="47" t="s">
        <v>155</v>
      </c>
      <c r="P13" s="47" t="s">
        <v>155</v>
      </c>
      <c r="Q13" s="47" t="s">
        <v>155</v>
      </c>
      <c r="R13" s="37"/>
      <c r="S13" s="37"/>
      <c r="T13" s="37"/>
      <c r="U13" s="37"/>
      <c r="V13" s="37"/>
      <c r="W13" s="37"/>
    </row>
    <row r="14" customFormat="false" ht="15" hidden="false" customHeight="false" outlineLevel="0" collapsed="false">
      <c r="B14" s="8" t="s">
        <v>164</v>
      </c>
      <c r="C14" s="38" t="s">
        <v>138</v>
      </c>
      <c r="D14" s="38" t="s">
        <v>141</v>
      </c>
      <c r="E14" s="39"/>
      <c r="F14" s="39"/>
      <c r="G14" s="39"/>
      <c r="H14" s="48" t="s">
        <v>155</v>
      </c>
      <c r="I14" s="48" t="s">
        <v>155</v>
      </c>
      <c r="J14" s="48" t="s">
        <v>155</v>
      </c>
      <c r="K14" s="48" t="s">
        <v>155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customFormat="false" ht="15" hidden="false" customHeight="false" outlineLevel="0" collapsed="false">
      <c r="B15" s="5" t="s">
        <v>165</v>
      </c>
      <c r="C15" s="35" t="s">
        <v>146</v>
      </c>
      <c r="D15" s="35" t="s">
        <v>148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49" t="s">
        <v>155</v>
      </c>
      <c r="Q15" s="49" t="s">
        <v>155</v>
      </c>
      <c r="R15" s="49" t="s">
        <v>155</v>
      </c>
      <c r="S15" s="37"/>
      <c r="T15" s="37"/>
      <c r="U15" s="37"/>
      <c r="V15" s="37"/>
      <c r="W15" s="37"/>
    </row>
    <row r="16" customFormat="false" ht="15" hidden="false" customHeight="false" outlineLevel="0" collapsed="false">
      <c r="B16" s="8" t="s">
        <v>166</v>
      </c>
      <c r="C16" s="38" t="s">
        <v>144</v>
      </c>
      <c r="D16" s="38" t="s">
        <v>150</v>
      </c>
      <c r="E16" s="39"/>
      <c r="F16" s="39"/>
      <c r="G16" s="39"/>
      <c r="H16" s="39"/>
      <c r="I16" s="39"/>
      <c r="J16" s="39"/>
      <c r="K16" s="39"/>
      <c r="L16" s="39"/>
      <c r="M16" s="39"/>
      <c r="N16" s="50" t="s">
        <v>155</v>
      </c>
      <c r="O16" s="50" t="s">
        <v>155</v>
      </c>
      <c r="P16" s="50" t="s">
        <v>155</v>
      </c>
      <c r="Q16" s="50" t="s">
        <v>155</v>
      </c>
      <c r="R16" s="50" t="s">
        <v>155</v>
      </c>
      <c r="S16" s="50" t="s">
        <v>155</v>
      </c>
      <c r="T16" s="50" t="s">
        <v>155</v>
      </c>
      <c r="U16" s="39"/>
      <c r="V16" s="39"/>
      <c r="W16" s="39"/>
    </row>
    <row r="17" customFormat="false" ht="15" hidden="false" customHeight="false" outlineLevel="0" collapsed="false">
      <c r="B17" s="5" t="s">
        <v>167</v>
      </c>
      <c r="C17" s="35" t="s">
        <v>149</v>
      </c>
      <c r="D17" s="35" t="s">
        <v>152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51" t="s">
        <v>155</v>
      </c>
      <c r="T17" s="51" t="s">
        <v>155</v>
      </c>
      <c r="U17" s="51" t="s">
        <v>155</v>
      </c>
      <c r="V17" s="51" t="s">
        <v>155</v>
      </c>
      <c r="W17" s="37"/>
    </row>
    <row r="18" customFormat="false" ht="15" hidden="false" customHeight="false" outlineLevel="0" collapsed="false">
      <c r="B18" s="8" t="s">
        <v>168</v>
      </c>
      <c r="C18" s="38" t="s">
        <v>150</v>
      </c>
      <c r="D18" s="38" t="s">
        <v>153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52" t="s">
        <v>155</v>
      </c>
      <c r="U18" s="52" t="s">
        <v>155</v>
      </c>
      <c r="V18" s="52" t="s">
        <v>155</v>
      </c>
      <c r="W18" s="52" t="s">
        <v>155</v>
      </c>
    </row>
    <row r="19" customFormat="false" ht="15" hidden="false" customHeight="false" outlineLevel="0" collapsed="false">
      <c r="B19" s="5" t="s">
        <v>169</v>
      </c>
      <c r="C19" s="35" t="s">
        <v>152</v>
      </c>
      <c r="D19" s="35" t="s">
        <v>153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41" t="s">
        <v>155</v>
      </c>
      <c r="W19" s="41" t="s">
        <v>155</v>
      </c>
    </row>
    <row r="22" customFormat="false" ht="15" hidden="false" customHeight="false" outlineLevel="0" collapsed="false">
      <c r="B22" s="53" t="s">
        <v>170</v>
      </c>
      <c r="C22" s="53"/>
      <c r="D22" s="53"/>
      <c r="E22" s="53"/>
      <c r="F22" s="53"/>
      <c r="G22" s="53"/>
      <c r="H22" s="53"/>
    </row>
  </sheetData>
  <mergeCells count="2">
    <mergeCell ref="B2:W2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50"/>
  </cols>
  <sheetData>
    <row r="2" customFormat="false" ht="17.35" hidden="false" customHeight="false" outlineLevel="0" collapsed="false">
      <c r="B2" s="32" t="s">
        <v>171</v>
      </c>
      <c r="C2" s="32"/>
      <c r="D2" s="32"/>
      <c r="E2" s="32"/>
    </row>
    <row r="4" customFormat="false" ht="15" hidden="false" customHeight="false" outlineLevel="0" collapsed="false">
      <c r="B4" s="4" t="s">
        <v>172</v>
      </c>
      <c r="C4" s="4" t="s">
        <v>173</v>
      </c>
      <c r="D4" s="4" t="s">
        <v>174</v>
      </c>
      <c r="E4" s="4" t="s">
        <v>175</v>
      </c>
    </row>
    <row r="5" customFormat="false" ht="34.5" hidden="false" customHeight="true" outlineLevel="0" collapsed="false">
      <c r="B5" s="54" t="s">
        <v>176</v>
      </c>
      <c r="C5" s="55" t="s">
        <v>177</v>
      </c>
      <c r="D5" s="55" t="s">
        <v>178</v>
      </c>
      <c r="E5" s="22" t="s">
        <v>179</v>
      </c>
    </row>
    <row r="6" customFormat="false" ht="34.5" hidden="false" customHeight="true" outlineLevel="0" collapsed="false">
      <c r="B6" s="56" t="s">
        <v>180</v>
      </c>
      <c r="C6" s="57" t="s">
        <v>181</v>
      </c>
      <c r="D6" s="57" t="s">
        <v>182</v>
      </c>
      <c r="E6" s="17" t="s">
        <v>183</v>
      </c>
    </row>
    <row r="7" customFormat="false" ht="34.5" hidden="false" customHeight="true" outlineLevel="0" collapsed="false">
      <c r="B7" s="54" t="s">
        <v>184</v>
      </c>
      <c r="C7" s="58" t="s">
        <v>181</v>
      </c>
      <c r="D7" s="6" t="s">
        <v>185</v>
      </c>
      <c r="E7" s="22" t="s">
        <v>186</v>
      </c>
    </row>
    <row r="8" customFormat="false" ht="34.5" hidden="false" customHeight="true" outlineLevel="0" collapsed="false">
      <c r="B8" s="56" t="s">
        <v>187</v>
      </c>
      <c r="C8" s="57" t="s">
        <v>181</v>
      </c>
      <c r="D8" s="9" t="s">
        <v>185</v>
      </c>
      <c r="E8" s="17" t="s">
        <v>188</v>
      </c>
    </row>
    <row r="9" customFormat="false" ht="34.5" hidden="false" customHeight="true" outlineLevel="0" collapsed="false">
      <c r="B9" s="54" t="s">
        <v>189</v>
      </c>
      <c r="C9" s="55" t="s">
        <v>177</v>
      </c>
      <c r="D9" s="58" t="s">
        <v>182</v>
      </c>
      <c r="E9" s="22" t="s">
        <v>190</v>
      </c>
    </row>
    <row r="10" customFormat="false" ht="34.5" hidden="false" customHeight="true" outlineLevel="0" collapsed="false">
      <c r="B10" s="56" t="s">
        <v>191</v>
      </c>
      <c r="C10" s="9" t="s">
        <v>192</v>
      </c>
      <c r="D10" s="57" t="s">
        <v>182</v>
      </c>
      <c r="E10" s="17" t="s">
        <v>193</v>
      </c>
    </row>
    <row r="11" customFormat="false" ht="34.5" hidden="false" customHeight="true" outlineLevel="0" collapsed="false">
      <c r="B11" s="54" t="s">
        <v>194</v>
      </c>
      <c r="C11" s="58" t="s">
        <v>181</v>
      </c>
      <c r="D11" s="55" t="s">
        <v>178</v>
      </c>
      <c r="E11" s="22" t="s">
        <v>195</v>
      </c>
    </row>
    <row r="12" customFormat="false" ht="34.5" hidden="false" customHeight="true" outlineLevel="0" collapsed="false">
      <c r="B12" s="56" t="s">
        <v>196</v>
      </c>
      <c r="C12" s="9" t="s">
        <v>192</v>
      </c>
      <c r="D12" s="9" t="s">
        <v>185</v>
      </c>
      <c r="E12" s="17" t="s">
        <v>197</v>
      </c>
    </row>
    <row r="13" customFormat="false" ht="34.5" hidden="false" customHeight="true" outlineLevel="0" collapsed="false">
      <c r="B13" s="54" t="s">
        <v>198</v>
      </c>
      <c r="C13" s="55" t="s">
        <v>177</v>
      </c>
      <c r="D13" s="6" t="s">
        <v>185</v>
      </c>
      <c r="E13" s="22" t="s">
        <v>199</v>
      </c>
    </row>
    <row r="14" customFormat="false" ht="34.5" hidden="false" customHeight="true" outlineLevel="0" collapsed="false">
      <c r="B14" s="56" t="s">
        <v>200</v>
      </c>
      <c r="C14" s="57" t="s">
        <v>181</v>
      </c>
      <c r="D14" s="9" t="s">
        <v>185</v>
      </c>
      <c r="E14" s="17" t="s">
        <v>201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2026-03-16T15:48:55Z</dcterms:created>
  <dc:creator>openpyxl</dc:creator>
  <dc:description/>
  <dc:language>en-US</dc:language>
  <cp:lastModifiedBy/>
  <dcterms:modified xsi:type="dcterms:W3CDTF">2026-03-16T15:48:55Z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